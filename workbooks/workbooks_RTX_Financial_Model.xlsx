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Public Data Inputs" sheetId="1" r:id="rId4"/>
    <sheet state="visible" name="2_Assumptions" sheetId="2" r:id="rId5"/>
    <sheet state="visible" name="3_Forecast Build " sheetId="3" r:id="rId6"/>
    <sheet state="visible" name="4_WACC" sheetId="4" r:id="rId7"/>
    <sheet state="visible" name="5_DCF Valuation" sheetId="5" r:id="rId8"/>
    <sheet state="visible" name="6_Sensitivity" sheetId="6" r:id="rId9"/>
    <sheet state="visible" name="7_Scenarios" sheetId="7" r:id="rId10"/>
    <sheet state="visible" name="8_Notes and Sources" sheetId="8" r:id="rId11"/>
  </sheets>
  <definedNames/>
  <calcPr/>
</workbook>
</file>

<file path=xl/sharedStrings.xml><?xml version="1.0" encoding="utf-8"?>
<sst xmlns="http://schemas.openxmlformats.org/spreadsheetml/2006/main" count="129" uniqueCount="107">
  <si>
    <t xml:space="preserve">Company Name </t>
  </si>
  <si>
    <t xml:space="preserve">Raytheon Technologies </t>
  </si>
  <si>
    <t xml:space="preserve">Ticker </t>
  </si>
  <si>
    <t>RTX</t>
  </si>
  <si>
    <t xml:space="preserve">Current Share Price </t>
  </si>
  <si>
    <t>Market Cap</t>
  </si>
  <si>
    <t>Entreprise Value (EV)</t>
  </si>
  <si>
    <t xml:space="preserve">Shares Outstanding </t>
  </si>
  <si>
    <t xml:space="preserve">Total Debt </t>
  </si>
  <si>
    <t xml:space="preserve">Cash on Hand </t>
  </si>
  <si>
    <t>Revenue (TTM)</t>
  </si>
  <si>
    <t>EBIT Margin (TTM)</t>
  </si>
  <si>
    <t>Free Cash Flow (TTM)</t>
  </si>
  <si>
    <t>Beta (5y)</t>
  </si>
  <si>
    <t xml:space="preserve">Risk Free Rate (10y Treasury) </t>
  </si>
  <si>
    <t xml:space="preserve">Market Risk Premium (Assumption) </t>
  </si>
  <si>
    <t xml:space="preserve">Source Links </t>
  </si>
  <si>
    <t xml:space="preserve">Forecast Years </t>
  </si>
  <si>
    <t>FY1</t>
  </si>
  <si>
    <t>FY2</t>
  </si>
  <si>
    <t>FY3</t>
  </si>
  <si>
    <t>FY4</t>
  </si>
  <si>
    <t>FY5</t>
  </si>
  <si>
    <t xml:space="preserve">Base Case: Revenue Growth </t>
  </si>
  <si>
    <t>Rate Shock Scenario (Higher WACC)</t>
  </si>
  <si>
    <t xml:space="preserve">Budget Normalization Scenario </t>
  </si>
  <si>
    <t xml:space="preserve">EBIT Margin - Base </t>
  </si>
  <si>
    <t xml:space="preserve">EBIT Margin - Stress Case </t>
  </si>
  <si>
    <t xml:space="preserve">Risk-Free Rate </t>
  </si>
  <si>
    <t>Beta</t>
  </si>
  <si>
    <t xml:space="preserve">Market Risk Premium </t>
  </si>
  <si>
    <t xml:space="preserve">Cost of Debt (assumption) </t>
  </si>
  <si>
    <t>5.0%-6.0%</t>
  </si>
  <si>
    <t xml:space="preserve">Tax Rate </t>
  </si>
  <si>
    <t xml:space="preserve">CapEx as % of Revenue </t>
  </si>
  <si>
    <t xml:space="preserve">Deprecation as % of Revenue </t>
  </si>
  <si>
    <t xml:space="preserve">Change in Working Capital </t>
  </si>
  <si>
    <t xml:space="preserve">Terminal Growth (g) </t>
  </si>
  <si>
    <t xml:space="preserve">Active Revenue Growth </t>
  </si>
  <si>
    <t xml:space="preserve">Active EBIT Margin </t>
  </si>
  <si>
    <t>Active WACC</t>
  </si>
  <si>
    <t xml:space="preserve">Active Terminal Growth </t>
  </si>
  <si>
    <t>Active CapEx %</t>
  </si>
  <si>
    <t>Starting Revenue (TTM)</t>
  </si>
  <si>
    <t>Revenue Growth Assumption</t>
  </si>
  <si>
    <t xml:space="preserve">Projected Revenue </t>
  </si>
  <si>
    <t>EBIT Margin (Base Case)</t>
  </si>
  <si>
    <t>EBIT (Base Case)</t>
  </si>
  <si>
    <t>NOPAT</t>
  </si>
  <si>
    <t xml:space="preserve">Depreciation (from assumptions) </t>
  </si>
  <si>
    <t xml:space="preserve">CapEx (from assumptions) </t>
  </si>
  <si>
    <t xml:space="preserve">Unlevered Free Cash Flow (FCFF) </t>
  </si>
  <si>
    <t xml:space="preserve">Inputs </t>
  </si>
  <si>
    <t>Risk-Free Rate (RFR)</t>
  </si>
  <si>
    <t xml:space="preserve">Beta (5y Monthly) </t>
  </si>
  <si>
    <t>Market Risk Premium (MRP)</t>
  </si>
  <si>
    <t>Cost of Equity (CAPM)</t>
  </si>
  <si>
    <t xml:space="preserve">Cost of Debt </t>
  </si>
  <si>
    <t xml:space="preserve">Pre-Tax Cost of Debt (assumed) </t>
  </si>
  <si>
    <t xml:space="preserve">After-Tax Cost of Debt </t>
  </si>
  <si>
    <t xml:space="preserve">Capital Structure Weight </t>
  </si>
  <si>
    <t xml:space="preserve">Entreprise Value </t>
  </si>
  <si>
    <t xml:space="preserve">Weight of Equity </t>
  </si>
  <si>
    <t xml:space="preserve">Weight of Debt </t>
  </si>
  <si>
    <t>WACC</t>
  </si>
  <si>
    <t xml:space="preserve">Year </t>
  </si>
  <si>
    <t xml:space="preserve">Terminal Value </t>
  </si>
  <si>
    <t>Unlevered Free Cash Flow (FCFF)</t>
  </si>
  <si>
    <t xml:space="preserve">Discount Factor </t>
  </si>
  <si>
    <t>Present Value of FCFF</t>
  </si>
  <si>
    <t xml:space="preserve">PV of Terminal Value </t>
  </si>
  <si>
    <t xml:space="preserve">Enterprise Value (DCF) </t>
  </si>
  <si>
    <t xml:space="preserve">Enterprise Value </t>
  </si>
  <si>
    <t>Less: Debt</t>
  </si>
  <si>
    <t xml:space="preserve">Add: Cash </t>
  </si>
  <si>
    <t xml:space="preserve">Equity Value </t>
  </si>
  <si>
    <t xml:space="preserve">Implied Share Price </t>
  </si>
  <si>
    <t xml:space="preserve">Base WACC </t>
  </si>
  <si>
    <t>Base Terminal Growth (g)</t>
  </si>
  <si>
    <t xml:space="preserve">Base Implied Share Price </t>
  </si>
  <si>
    <t>Terminal Growth (g)</t>
  </si>
  <si>
    <t xml:space="preserve">Active Scenario </t>
  </si>
  <si>
    <t xml:space="preserve">Base / Upside / Downside </t>
  </si>
  <si>
    <t xml:space="preserve">Selector </t>
  </si>
  <si>
    <t>Base</t>
  </si>
  <si>
    <t xml:space="preserve">Input </t>
  </si>
  <si>
    <t xml:space="preserve">Base Case </t>
  </si>
  <si>
    <t xml:space="preserve">Upside </t>
  </si>
  <si>
    <t xml:space="preserve">Downside </t>
  </si>
  <si>
    <t xml:space="preserve">Scenario Name </t>
  </si>
  <si>
    <t xml:space="preserve">Defense / Geopolitical Upside </t>
  </si>
  <si>
    <t xml:space="preserve">Cost Pressure / High Rate Enviroment </t>
  </si>
  <si>
    <t xml:space="preserve">Revenue Growth </t>
  </si>
  <si>
    <t>EBIT Margin</t>
  </si>
  <si>
    <t xml:space="preserve">CapEx % of Revenue </t>
  </si>
  <si>
    <t>Yahoo Finance – Price, Market Cap, Beta, EV</t>
  </si>
  <si>
    <t>RTX 10-K – Revenue mix, margins</t>
  </si>
  <si>
    <t>RTX Investor Presentation – Backlog &amp; contract exposure</t>
  </si>
  <si>
    <t>FRED – Risk-free rate</t>
  </si>
  <si>
    <t>FinViz / Morningstar – Peer multiples</t>
  </si>
  <si>
    <t>Share Price → https://finance.yahoo.com/quote/RTX</t>
  </si>
  <si>
    <t>Market Cap → Yahoo Finance – RTX summary</t>
  </si>
  <si>
    <t>Enterprise Value → Yahoo Finance – Statistics</t>
  </si>
  <si>
    <t>Total Debt &amp; Cash → Yahoo Finance – Balance Sheet</t>
  </si>
  <si>
    <t>Revenue &amp; EBIT → Yahoo Finance – Financials</t>
  </si>
  <si>
    <t>Beta → Yahoo Finance – Statistics</t>
  </si>
  <si>
    <t>10Y Treasury Yield → https://fred.stlouisfed.org/series/DGS10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</si>
</sst>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0.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Font="1" applyNumberFormat="1"/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9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6" xfId="0" applyFont="1" applyNumberFormat="1"/>
    <xf borderId="0" fillId="0" fontId="1" numFmtId="2" xfId="0" applyFont="1" applyNumberFormat="1"/>
    <xf borderId="0" fillId="0" fontId="1" numFmtId="4" xfId="0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8.75"/>
    <col customWidth="1" min="3" max="3" width="9.63"/>
    <col customWidth="1" min="4" max="4" width="13.63"/>
    <col customWidth="1" min="5" max="5" width="16.25"/>
    <col customWidth="1" min="6" max="6" width="9.0"/>
    <col customWidth="1" min="7" max="7" width="12.13"/>
    <col customWidth="1" min="8" max="8" width="12.63"/>
    <col customWidth="1" min="9" max="9" width="10.75"/>
    <col customWidth="1" min="10" max="10" width="9.25"/>
    <col customWidth="1" min="11" max="11" width="7.75"/>
    <col customWidth="1" min="12" max="12" width="24.13"/>
    <col customWidth="1" min="13" max="13" width="16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4">
      <c r="A4" s="1" t="s">
        <v>4</v>
      </c>
      <c r="B4" s="2">
        <v>184.42</v>
      </c>
    </row>
    <row r="5">
      <c r="A5" s="1" t="s">
        <v>5</v>
      </c>
      <c r="B5" s="3">
        <v>2.4727E11</v>
      </c>
    </row>
    <row r="6">
      <c r="A6" s="1" t="s">
        <v>6</v>
      </c>
      <c r="B6" s="3">
        <v>2.8201E11</v>
      </c>
    </row>
    <row r="7">
      <c r="A7" s="1" t="s">
        <v>7</v>
      </c>
      <c r="B7" s="4">
        <v>1.34E9</v>
      </c>
    </row>
    <row r="8">
      <c r="A8" s="1" t="s">
        <v>8</v>
      </c>
      <c r="B8" s="3">
        <v>4.071E10</v>
      </c>
    </row>
    <row r="9">
      <c r="A9" s="1" t="s">
        <v>9</v>
      </c>
      <c r="B9" s="3">
        <v>5.97E9</v>
      </c>
    </row>
    <row r="11">
      <c r="A11" s="1" t="s">
        <v>10</v>
      </c>
      <c r="B11" s="3">
        <v>8.599E10</v>
      </c>
    </row>
    <row r="12">
      <c r="A12" s="1" t="s">
        <v>11</v>
      </c>
      <c r="B12" s="5">
        <f>C12/B11</f>
        <v>0.10251192</v>
      </c>
      <c r="C12" s="6">
        <v>8.815E9</v>
      </c>
    </row>
    <row r="13">
      <c r="A13" s="1" t="s">
        <v>12</v>
      </c>
      <c r="B13" s="3">
        <v>4.73E9</v>
      </c>
    </row>
    <row r="16">
      <c r="A16" s="1" t="s">
        <v>13</v>
      </c>
      <c r="B16" s="1">
        <v>0.55</v>
      </c>
    </row>
    <row r="17">
      <c r="A17" s="1" t="s">
        <v>14</v>
      </c>
      <c r="B17" s="7">
        <v>0.0412</v>
      </c>
    </row>
    <row r="18">
      <c r="A18" s="1" t="s">
        <v>15</v>
      </c>
      <c r="B18" s="8">
        <v>0.055</v>
      </c>
    </row>
    <row r="21">
      <c r="A21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4">
      <c r="A4" s="1" t="s">
        <v>23</v>
      </c>
      <c r="B4" s="7">
        <v>0.04</v>
      </c>
      <c r="C4" s="7">
        <v>0.04</v>
      </c>
      <c r="D4" s="7">
        <v>0.04</v>
      </c>
      <c r="E4" s="7">
        <v>0.04</v>
      </c>
      <c r="F4" s="7">
        <v>0.04</v>
      </c>
    </row>
    <row r="5">
      <c r="A5" s="1" t="s">
        <v>24</v>
      </c>
      <c r="B5" s="7">
        <v>0.02</v>
      </c>
      <c r="C5" s="7">
        <v>0.02</v>
      </c>
      <c r="D5" s="7">
        <v>0.02</v>
      </c>
      <c r="E5" s="7">
        <v>0.02</v>
      </c>
      <c r="F5" s="7">
        <v>0.02</v>
      </c>
    </row>
    <row r="6">
      <c r="A6" s="1" t="s">
        <v>25</v>
      </c>
      <c r="B6" s="7">
        <v>0.01</v>
      </c>
      <c r="C6" s="7">
        <v>0.01</v>
      </c>
      <c r="D6" s="7">
        <v>0.01</v>
      </c>
      <c r="E6" s="7">
        <v>0.01</v>
      </c>
      <c r="F6" s="7">
        <v>0.01</v>
      </c>
    </row>
    <row r="8">
      <c r="A8" s="1" t="s">
        <v>26</v>
      </c>
      <c r="B8" s="7">
        <v>0.103</v>
      </c>
      <c r="C8" s="7">
        <v>0.104</v>
      </c>
      <c r="D8" s="7">
        <v>0.105</v>
      </c>
      <c r="E8" s="7">
        <v>0.106</v>
      </c>
      <c r="F8" s="7">
        <v>0.107</v>
      </c>
      <c r="G8" s="7"/>
    </row>
    <row r="9">
      <c r="A9" s="1" t="s">
        <v>27</v>
      </c>
      <c r="B9" s="7">
        <v>0.095</v>
      </c>
      <c r="C9" s="7">
        <v>0.095</v>
      </c>
      <c r="D9" s="7">
        <v>0.094</v>
      </c>
      <c r="E9" s="7">
        <v>0.094</v>
      </c>
      <c r="F9" s="7">
        <v>0.093</v>
      </c>
    </row>
    <row r="12">
      <c r="A12" s="1" t="s">
        <v>28</v>
      </c>
      <c r="B12" s="7">
        <v>0.0412</v>
      </c>
    </row>
    <row r="13">
      <c r="A13" s="1" t="s">
        <v>29</v>
      </c>
      <c r="B13" s="1">
        <v>0.44</v>
      </c>
    </row>
    <row r="14">
      <c r="A14" s="1" t="s">
        <v>30</v>
      </c>
      <c r="B14" s="7">
        <v>0.05</v>
      </c>
    </row>
    <row r="15">
      <c r="A15" s="1" t="s">
        <v>31</v>
      </c>
      <c r="B15" s="1" t="s">
        <v>32</v>
      </c>
    </row>
    <row r="16">
      <c r="A16" s="1" t="s">
        <v>33</v>
      </c>
      <c r="B16" s="9">
        <v>0.21</v>
      </c>
    </row>
    <row r="18">
      <c r="A18" s="1" t="s">
        <v>34</v>
      </c>
      <c r="B18" s="7">
        <v>0.03</v>
      </c>
    </row>
    <row r="19">
      <c r="A19" s="1" t="s">
        <v>35</v>
      </c>
      <c r="B19" s="7">
        <v>0.025</v>
      </c>
    </row>
    <row r="20">
      <c r="A20" s="1" t="s">
        <v>36</v>
      </c>
      <c r="B20" s="7">
        <v>0.005</v>
      </c>
    </row>
    <row r="22">
      <c r="A22" s="1" t="s">
        <v>37</v>
      </c>
      <c r="B22" s="8">
        <f>B27</f>
        <v>0.015</v>
      </c>
    </row>
    <row r="24">
      <c r="A24" s="1" t="s">
        <v>38</v>
      </c>
      <c r="B24" s="10">
        <f>IF('7_Scenarios'!$B$2="Base",'7_Scenarios'!B7,IF('7_Scenarios'!$B$2="Upside",'7_Scenarios'!C7,'7_Scenarios'!D7))</f>
        <v>0.06</v>
      </c>
    </row>
    <row r="25">
      <c r="A25" s="1" t="s">
        <v>39</v>
      </c>
      <c r="B25" s="5">
        <f>IF('7_Scenarios'!$B$2="Base",'7_Scenarios'!B8,IF('7_Scenarios'!$B$2="Upside",'7_Scenarios'!C8,'7_Scenarios'!D8))</f>
        <v>0.103</v>
      </c>
    </row>
    <row r="26">
      <c r="A26" s="1" t="s">
        <v>40</v>
      </c>
      <c r="B26" s="5">
        <f>IF('7_Scenarios'!$B$2="Base",'7_Scenarios'!B9,IF('7_Scenarios'!$B$2="Upside",'7_Scenarios'!C9,'7_Scenarios'!D9))</f>
        <v>0.0698</v>
      </c>
    </row>
    <row r="27">
      <c r="A27" s="1" t="s">
        <v>41</v>
      </c>
      <c r="B27" s="5">
        <f>IF('7_Scenarios'!$B$2="Base",'7_Scenarios'!B10,IF('7_Scenarios'!$B$2="Upside",'7_Scenarios'!C10,'7_Scenarios'!D10))</f>
        <v>0.015</v>
      </c>
    </row>
    <row r="28">
      <c r="A28" s="1" t="s">
        <v>42</v>
      </c>
      <c r="B28" s="5">
        <f>IF('7_Scenarios'!$B$2="Base",      '7_Scenarios'!B11,
 IF('7_Scenarios'!$B$2="Upside",    '7_Scenarios'!C11,
 IF('7_Scenarios'!$B$2="Downside",  '7_Scenarios'!D11,
 " ")))
</f>
        <v>0.03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6" width="13.5"/>
  </cols>
  <sheetData>
    <row r="1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3">
      <c r="A3" s="1" t="s">
        <v>43</v>
      </c>
      <c r="B3" s="11">
        <f>'1_Public Data Inputs'!B11</f>
        <v>85990000000</v>
      </c>
      <c r="C3" s="11">
        <f t="shared" ref="C3:F3" si="1">B5</f>
        <v>91149400000</v>
      </c>
      <c r="D3" s="11">
        <f t="shared" si="1"/>
        <v>96618364000</v>
      </c>
      <c r="E3" s="11">
        <f t="shared" si="1"/>
        <v>102415465840</v>
      </c>
      <c r="F3" s="11">
        <f t="shared" si="1"/>
        <v>108560393790</v>
      </c>
    </row>
    <row r="4">
      <c r="A4" s="1" t="s">
        <v>44</v>
      </c>
      <c r="B4" s="10">
        <f>'2_Assumptions'!$B$24</f>
        <v>0.06</v>
      </c>
      <c r="C4" s="10">
        <f>'2_Assumptions'!$B$24</f>
        <v>0.06</v>
      </c>
      <c r="D4" s="10">
        <f>'2_Assumptions'!$B$24</f>
        <v>0.06</v>
      </c>
      <c r="E4" s="10">
        <f>'2_Assumptions'!$B$24</f>
        <v>0.06</v>
      </c>
      <c r="F4" s="10">
        <f>'2_Assumptions'!$B$24</f>
        <v>0.06</v>
      </c>
    </row>
    <row r="5">
      <c r="A5" s="1" t="s">
        <v>45</v>
      </c>
      <c r="B5" s="11">
        <f t="shared" ref="B5:F5" si="2">B3*(1+B4)</f>
        <v>91149400000</v>
      </c>
      <c r="C5" s="11">
        <f t="shared" si="2"/>
        <v>96618364000</v>
      </c>
      <c r="D5" s="11">
        <f t="shared" si="2"/>
        <v>102415465840</v>
      </c>
      <c r="E5" s="11">
        <f t="shared" si="2"/>
        <v>108560393790</v>
      </c>
      <c r="F5" s="11">
        <f t="shared" si="2"/>
        <v>115074017418</v>
      </c>
    </row>
    <row r="8">
      <c r="A8" s="1" t="s">
        <v>46</v>
      </c>
      <c r="B8" s="5">
        <f>'2_Assumptions'!B25</f>
        <v>0.103</v>
      </c>
      <c r="C8" s="5">
        <f t="shared" ref="C8:F8" si="3">B8+0.1%</f>
        <v>0.104</v>
      </c>
      <c r="D8" s="5">
        <f t="shared" si="3"/>
        <v>0.105</v>
      </c>
      <c r="E8" s="5">
        <f t="shared" si="3"/>
        <v>0.106</v>
      </c>
      <c r="F8" s="5">
        <f t="shared" si="3"/>
        <v>0.107</v>
      </c>
    </row>
    <row r="9">
      <c r="A9" s="1" t="s">
        <v>47</v>
      </c>
      <c r="B9" s="11">
        <f t="shared" ref="B9:F9" si="4">B5*B8</f>
        <v>9388388200</v>
      </c>
      <c r="C9" s="11">
        <f t="shared" si="4"/>
        <v>10048309856</v>
      </c>
      <c r="D9" s="11">
        <f t="shared" si="4"/>
        <v>10753623913</v>
      </c>
      <c r="E9" s="11">
        <f t="shared" si="4"/>
        <v>11507401742</v>
      </c>
      <c r="F9" s="11">
        <f t="shared" si="4"/>
        <v>12312919864</v>
      </c>
    </row>
    <row r="11">
      <c r="A11" s="1" t="s">
        <v>33</v>
      </c>
      <c r="B11" s="10">
        <f>'2_Assumptions'!$B$16</f>
        <v>0.21</v>
      </c>
      <c r="C11" s="10">
        <f>'2_Assumptions'!$B$16</f>
        <v>0.21</v>
      </c>
      <c r="D11" s="10">
        <f>'2_Assumptions'!$B$16</f>
        <v>0.21</v>
      </c>
      <c r="E11" s="10">
        <f>'2_Assumptions'!$B$16</f>
        <v>0.21</v>
      </c>
      <c r="F11" s="10">
        <f>'2_Assumptions'!$B$16</f>
        <v>0.21</v>
      </c>
    </row>
    <row r="12">
      <c r="A12" s="1" t="s">
        <v>48</v>
      </c>
      <c r="B12" s="11">
        <f t="shared" ref="B12:F12" si="5">B9*(1-B11)</f>
        <v>7416826678</v>
      </c>
      <c r="C12" s="11">
        <f t="shared" si="5"/>
        <v>7938164786</v>
      </c>
      <c r="D12" s="11">
        <f t="shared" si="5"/>
        <v>8495362891</v>
      </c>
      <c r="E12" s="11">
        <f t="shared" si="5"/>
        <v>9090847376</v>
      </c>
      <c r="F12" s="11">
        <f t="shared" si="5"/>
        <v>9727206692</v>
      </c>
    </row>
    <row r="14">
      <c r="A14" s="1" t="s">
        <v>49</v>
      </c>
      <c r="B14" s="11">
        <f>B5*'2_Assumptions'!$B$19</f>
        <v>2278735000</v>
      </c>
      <c r="C14" s="11">
        <f>C5*'2_Assumptions'!$B$19</f>
        <v>2415459100</v>
      </c>
      <c r="D14" s="11">
        <f>D5*'2_Assumptions'!$B$19</f>
        <v>2560386646</v>
      </c>
      <c r="E14" s="11">
        <f>E5*'2_Assumptions'!$B$19</f>
        <v>2714009845</v>
      </c>
      <c r="F14" s="11">
        <f>F5*'2_Assumptions'!$B$19</f>
        <v>2876850435</v>
      </c>
    </row>
    <row r="15">
      <c r="A15" s="1" t="s">
        <v>50</v>
      </c>
      <c r="B15" s="11">
        <f>B5*'2_Assumptions'!B28</f>
        <v>2734482000</v>
      </c>
      <c r="C15" s="3">
        <f>C5*'2_Assumptions'!$B$28</f>
        <v>2898550920</v>
      </c>
      <c r="D15" s="11">
        <f>D5*'2_Assumptions'!$B$28</f>
        <v>3072463975</v>
      </c>
      <c r="E15" s="11">
        <f>E5*'2_Assumptions'!$B$28</f>
        <v>3256811814</v>
      </c>
      <c r="F15" s="11">
        <f>F5*'2_Assumptions'!$B$28</f>
        <v>3452220523</v>
      </c>
    </row>
    <row r="16">
      <c r="A16" s="1" t="s">
        <v>36</v>
      </c>
      <c r="B16" s="11">
        <f>B5*'2_Assumptions'!$B$20</f>
        <v>455747000</v>
      </c>
      <c r="C16" s="11">
        <f>C5*'2_Assumptions'!$B$20</f>
        <v>483091820</v>
      </c>
      <c r="D16" s="11">
        <f>D5*'2_Assumptions'!$B$20</f>
        <v>512077329.2</v>
      </c>
      <c r="E16" s="11">
        <f>E5*'2_Assumptions'!$B$28</f>
        <v>3256811814</v>
      </c>
      <c r="F16" s="11">
        <f>F5*'2_Assumptions'!$B$20</f>
        <v>575370087.1</v>
      </c>
    </row>
    <row r="17">
      <c r="A17" s="1" t="s">
        <v>51</v>
      </c>
      <c r="B17" s="11">
        <f t="shared" ref="B17:F17" si="6">B12+B14-B15-B16</f>
        <v>6505332678</v>
      </c>
      <c r="C17" s="11">
        <f t="shared" si="6"/>
        <v>6971981146</v>
      </c>
      <c r="D17" s="11">
        <f t="shared" si="6"/>
        <v>7471208233</v>
      </c>
      <c r="E17" s="11">
        <f t="shared" si="6"/>
        <v>5291233593</v>
      </c>
      <c r="F17" s="11">
        <f t="shared" si="6"/>
        <v>8576466518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4.5"/>
  </cols>
  <sheetData>
    <row r="1">
      <c r="A1" s="12" t="s">
        <v>52</v>
      </c>
    </row>
    <row r="2">
      <c r="A2" s="1" t="s">
        <v>53</v>
      </c>
      <c r="B2" s="5">
        <f>'1_Public Data Inputs'!B17</f>
        <v>0.0412</v>
      </c>
    </row>
    <row r="3">
      <c r="A3" s="1" t="s">
        <v>54</v>
      </c>
      <c r="B3" s="13">
        <f>'1_Public Data Inputs'!B16</f>
        <v>0.55</v>
      </c>
    </row>
    <row r="4">
      <c r="A4" s="1" t="s">
        <v>55</v>
      </c>
      <c r="B4" s="14">
        <f>'1_Public Data Inputs'!B18</f>
        <v>0.055</v>
      </c>
    </row>
    <row r="5">
      <c r="A5" s="1" t="s">
        <v>56</v>
      </c>
      <c r="B5" s="5">
        <f>B2+(B3*B4)</f>
        <v>0.07145</v>
      </c>
    </row>
    <row r="7">
      <c r="A7" s="12" t="s">
        <v>57</v>
      </c>
    </row>
    <row r="8">
      <c r="A8" s="1" t="s">
        <v>58</v>
      </c>
      <c r="B8" s="7">
        <v>0.0625</v>
      </c>
    </row>
    <row r="9">
      <c r="A9" s="1" t="s">
        <v>33</v>
      </c>
      <c r="B9" s="10">
        <f>'2_Assumptions'!B16</f>
        <v>0.21</v>
      </c>
    </row>
    <row r="10">
      <c r="A10" s="1" t="s">
        <v>59</v>
      </c>
      <c r="B10" s="5">
        <f>B8*(1-B9)</f>
        <v>0.049375</v>
      </c>
    </row>
    <row r="12">
      <c r="A12" s="12" t="s">
        <v>60</v>
      </c>
    </row>
    <row r="13">
      <c r="A13" s="1" t="s">
        <v>5</v>
      </c>
      <c r="B13" s="11">
        <f>'1_Public Data Inputs'!B5</f>
        <v>247270000000</v>
      </c>
    </row>
    <row r="14">
      <c r="A14" s="1" t="s">
        <v>8</v>
      </c>
      <c r="B14" s="11">
        <f>'1_Public Data Inputs'!B8</f>
        <v>40710000000</v>
      </c>
    </row>
    <row r="15">
      <c r="A15" s="1" t="s">
        <v>61</v>
      </c>
      <c r="B15" s="11">
        <f>B13+B14-'1_Public Data Inputs'!B9</f>
        <v>282010000000</v>
      </c>
    </row>
    <row r="16">
      <c r="A16" s="1" t="s">
        <v>62</v>
      </c>
      <c r="B16" s="15">
        <f>B13/B15</f>
        <v>0.876812879</v>
      </c>
    </row>
    <row r="17">
      <c r="A17" s="1" t="s">
        <v>63</v>
      </c>
      <c r="B17" s="15">
        <f>B14/B15</f>
        <v>0.1443565831</v>
      </c>
    </row>
    <row r="19">
      <c r="A19" s="12" t="s">
        <v>64</v>
      </c>
      <c r="B19" s="5">
        <f>'2_Assumptions'!B26</f>
        <v>0.0698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4.5"/>
    <col customWidth="1" min="7" max="7" width="14.5"/>
  </cols>
  <sheetData>
    <row r="1">
      <c r="A1" s="1" t="s">
        <v>65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66</v>
      </c>
    </row>
    <row r="3">
      <c r="A3" s="1" t="s">
        <v>67</v>
      </c>
      <c r="B3" s="11">
        <f>'3_Forecast Build '!B17</f>
        <v>6505332678</v>
      </c>
      <c r="C3" s="11">
        <f>'3_Forecast Build '!C17</f>
        <v>6971981146</v>
      </c>
      <c r="D3" s="11">
        <f>'3_Forecast Build '!D17</f>
        <v>7471208233</v>
      </c>
      <c r="E3" s="11">
        <f>'3_Forecast Build '!E17</f>
        <v>5291233593</v>
      </c>
      <c r="F3" s="11">
        <f>'3_Forecast Build '!F17</f>
        <v>8576466518</v>
      </c>
      <c r="G3" s="11">
        <f>'3_Forecast Build '!F17 * (1 + '2_Assumptions'!$B$22) / ('4_WACC'!$B$19 - '2_Assumptions'!$B$22)
</f>
        <v>158852436422</v>
      </c>
    </row>
    <row r="5">
      <c r="A5" s="1" t="s">
        <v>68</v>
      </c>
      <c r="B5" s="13">
        <f>1/(1+'4_WACC'!$B$19)^1</f>
        <v>0.9347541597</v>
      </c>
      <c r="C5" s="13">
        <f>1/(1+'4_WACC'!$B$19)^2</f>
        <v>0.873765339</v>
      </c>
      <c r="D5" s="13">
        <f>1/(1+'4_WACC'!$B$19)^3</f>
        <v>0.8167557852</v>
      </c>
      <c r="E5" s="13">
        <f>1/(1+'4_WACC'!$B$19)^4</f>
        <v>0.7634658676</v>
      </c>
      <c r="F5" s="13">
        <f>1/(1+'4_WACC'!$B$19)^5</f>
        <v>0.7136528955</v>
      </c>
      <c r="G5" s="13">
        <f>1/(1+'4_WACC'!$B$19)^5</f>
        <v>0.7136528955</v>
      </c>
    </row>
    <row r="7">
      <c r="A7" s="1" t="s">
        <v>69</v>
      </c>
      <c r="B7" s="11">
        <f t="shared" ref="B7:G7" si="1">B3*B5</f>
        <v>6080886781</v>
      </c>
      <c r="C7" s="11">
        <f t="shared" si="1"/>
        <v>6091875470</v>
      </c>
      <c r="D7" s="11">
        <f t="shared" si="1"/>
        <v>6102152547</v>
      </c>
      <c r="E7" s="11">
        <f t="shared" si="1"/>
        <v>4039676246</v>
      </c>
      <c r="F7" s="11">
        <f t="shared" si="1"/>
        <v>6120620164</v>
      </c>
      <c r="G7" s="11">
        <f t="shared" si="1"/>
        <v>113365501213</v>
      </c>
    </row>
    <row r="8">
      <c r="A8" s="1" t="s">
        <v>70</v>
      </c>
      <c r="G8" s="11">
        <f>G3 / (1 + '4_WACC'!$B$19)^5</f>
        <v>113365501213</v>
      </c>
    </row>
    <row r="9">
      <c r="A9" s="1" t="s">
        <v>71</v>
      </c>
      <c r="B9" s="11">
        <f>SUM(B7:F7)+G7</f>
        <v>141800712420</v>
      </c>
    </row>
    <row r="11">
      <c r="A11" s="1" t="s">
        <v>72</v>
      </c>
      <c r="B11" s="11">
        <f>B9</f>
        <v>141800712420</v>
      </c>
    </row>
    <row r="12">
      <c r="A12" s="1" t="s">
        <v>73</v>
      </c>
      <c r="B12" s="11">
        <f>'1_Public Data Inputs'!B8</f>
        <v>40710000000</v>
      </c>
    </row>
    <row r="13">
      <c r="A13" s="1" t="s">
        <v>74</v>
      </c>
      <c r="B13" s="11">
        <f>'1_Public Data Inputs'!B9</f>
        <v>5970000000</v>
      </c>
    </row>
    <row r="14">
      <c r="A14" s="1" t="s">
        <v>75</v>
      </c>
      <c r="B14" s="11">
        <f>B11-B12+B13</f>
        <v>107060712420</v>
      </c>
    </row>
    <row r="16">
      <c r="A16" s="1" t="s">
        <v>7</v>
      </c>
      <c r="B16" s="16">
        <f>'1_Public Data Inputs'!B7</f>
        <v>1340000000</v>
      </c>
    </row>
    <row r="17">
      <c r="A17" s="1" t="s">
        <v>76</v>
      </c>
      <c r="B17" s="11">
        <f>B14/B16</f>
        <v>79.89605404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3" max="3" width="11.88"/>
    <col customWidth="1" min="4" max="4" width="15.63"/>
    <col customWidth="1" min="5" max="5" width="6.13"/>
  </cols>
  <sheetData>
    <row r="1">
      <c r="A1" s="1" t="s">
        <v>40</v>
      </c>
      <c r="B1" s="8">
        <v>0.065</v>
      </c>
    </row>
    <row r="2">
      <c r="A2" s="1" t="s">
        <v>41</v>
      </c>
      <c r="B2" s="7">
        <v>0.015</v>
      </c>
    </row>
    <row r="3">
      <c r="A3" s="1" t="s">
        <v>77</v>
      </c>
    </row>
    <row r="4">
      <c r="A4" s="1" t="s">
        <v>78</v>
      </c>
      <c r="B4" s="5">
        <f>IF('6_Sensitivity'!$B$2="",0.02,'6_Sensitivity'!$B$2)
</f>
        <v>0.015</v>
      </c>
    </row>
    <row r="5">
      <c r="A5" s="1" t="s">
        <v>79</v>
      </c>
      <c r="B5" s="11">
        <f>'5_DCF Valuation'!B17</f>
        <v>79.89605404</v>
      </c>
    </row>
    <row r="6">
      <c r="D6" s="1" t="s">
        <v>80</v>
      </c>
    </row>
    <row r="7">
      <c r="C7" s="7">
        <v>0.015</v>
      </c>
      <c r="D7" s="7">
        <v>0.02</v>
      </c>
      <c r="E7" s="7">
        <v>0.025</v>
      </c>
      <c r="F7" s="7">
        <v>0.03</v>
      </c>
    </row>
    <row r="8">
      <c r="A8" s="1" t="s">
        <v>64</v>
      </c>
      <c r="B8" s="7">
        <v>0.06</v>
      </c>
      <c r="C8" s="17">
        <f>IFERROR(
(
  '5_DCF Valuation'!$B$3/(1+$B8)^1 +
  '5_DCF Valuation'!$C$3/(1+$B8)^2 +
  '5_DCF Valuation'!$D$3/(1+$B8)^3 +
  '5_DCF Valuation'!$E$3/(1+$B8)^4 +
  '5_DCF Valuation'!$F$3/(1+$B8)^5 +
  ( '5_DCF Valuation'!$F$3*(1+C$7)/( $B8 - C$7 ) ) / (1+$B8)^5
  - '5_DCF Valuation'!$B$12 +
  '5_DCF Valuation'!$B$13
) / '5_DCF Valuation'!$B$16,
""
)
</f>
        <v>103.7536788</v>
      </c>
      <c r="D8" s="17">
        <f>IFERROR(
(
  '5_DCF Valuation'!$B$3/(1+$B8)^1 +
  '5_DCF Valuation'!$C$3/(1+$B8)^2 +
  '5_DCF Valuation'!$D$3/(1+$B8)^3 +
  '5_DCF Valuation'!$E$3/(1+$B8)^4 +
  '5_DCF Valuation'!$F$3/(1+$B8)^5 +
  ( '5_DCF Valuation'!$F$3*(1+D$7)/( $B8 - D$7 ) ) / (1+$B8)^5
  - '5_DCF Valuation'!$B$12 +
  '5_DCF Valuation'!$B$13
) / '5_DCF Valuation'!$B$16,
""
)
</f>
        <v>117.83611</v>
      </c>
      <c r="E8" s="17">
        <f>IFERROR(
(
  '5_DCF Valuation'!$B$3/(1+$B8)^1 +
  '5_DCF Valuation'!$C$3/(1+$B8)^2 +
  '5_DCF Valuation'!$D$3/(1+$B8)^3 +
  '5_DCF Valuation'!$E$3/(1+$B8)^4 +
  '5_DCF Valuation'!$F$3/(1+$B8)^5 +
  ( '5_DCF Valuation'!$F$3*(1+E$7)/( $B8 - E$7 ) ) / (1+$B8)^5
  - '5_DCF Valuation'!$B$12 +
  '5_DCF Valuation'!$B$13
) / '5_DCF Valuation'!$B$16,
""
)
</f>
        <v>135.9420929</v>
      </c>
      <c r="F8" s="17">
        <f>IFERROR(
(
  '5_DCF Valuation'!$B$3/(1+$B8)^1 +
  '5_DCF Valuation'!$C$3/(1+$B8)^2 +
  '5_DCF Valuation'!$D$3/(1+$B8)^3 +
  '5_DCF Valuation'!$E$3/(1+$B8)^4 +
  '5_DCF Valuation'!$F$3/(1+$B8)^5 +
  ( '5_DCF Valuation'!$F$3*(1+F$7)/( $B8 - F$7 ) ) / (1+$B8)^5
  - '5_DCF Valuation'!$B$12 +
  '5_DCF Valuation'!$B$13
) / '5_DCF Valuation'!$B$16,
""
)
</f>
        <v>160.0834034</v>
      </c>
    </row>
    <row r="9">
      <c r="B9" s="7">
        <v>0.065</v>
      </c>
      <c r="C9" s="17">
        <f>IFERROR(
(
  '5_DCF Valuation'!$B$3/(1+$B9)^1 +
  '5_DCF Valuation'!$C$3/(1+$B9)^2 +
  '5_DCF Valuation'!$D$3/(1+$B9)^3 +
  '5_DCF Valuation'!$E$3/(1+$B9)^4 +
  '5_DCF Valuation'!$F$3/(1+$B9)^5 +
  ( '5_DCF Valuation'!$F$3*(1+C$7)/( $B9 - C$7 ) ) / (1+$B9)^5
  - '5_DCF Valuation'!$B$12 +
  '5_DCF Valuation'!$B$13
) / '5_DCF Valuation'!$B$16,
""
)
</f>
        <v>90.40816847</v>
      </c>
      <c r="D9" s="17">
        <f>IFERROR(
(
  '5_DCF Valuation'!$B$3/(1+$B9)^1 +
  '5_DCF Valuation'!$C$3/(1+$B9)^2 +
  '5_DCF Valuation'!$D$3/(1+$B9)^3 +
  '5_DCF Valuation'!$E$3/(1+$B9)^4 +
  '5_DCF Valuation'!$F$3/(1+$B9)^5 +
  ( '5_DCF Valuation'!$F$3*(1+D$7)/( $B9 - D$7 ) ) / (1+$B9)^5
  - '5_DCF Valuation'!$B$12 +
  '5_DCF Valuation'!$B$13
) / '5_DCF Valuation'!$B$16,
""
)
</f>
        <v>101.4640316</v>
      </c>
      <c r="E9" s="17">
        <f>IFERROR(
(
  '5_DCF Valuation'!$B$3/(1+$B9)^1 +
  '5_DCF Valuation'!$C$3/(1+$B9)^2 +
  '5_DCF Valuation'!$D$3/(1+$B9)^3 +
  '5_DCF Valuation'!$E$3/(1+$B9)^4 +
  '5_DCF Valuation'!$F$3/(1+$B9)^5 +
  ( '5_DCF Valuation'!$F$3*(1+E$7)/( $B9 - E$7 ) ) / (1+$B9)^5
  - '5_DCF Valuation'!$B$12 +
  '5_DCF Valuation'!$B$13
) / '5_DCF Valuation'!$B$16,
""
)
</f>
        <v>115.2838605</v>
      </c>
      <c r="F9" s="17">
        <f>IFERROR(
(
  '5_DCF Valuation'!$B$3/(1+$B9)^1 +
  '5_DCF Valuation'!$C$3/(1+$B9)^2 +
  '5_DCF Valuation'!$D$3/(1+$B9)^3 +
  '5_DCF Valuation'!$E$3/(1+$B9)^4 +
  '5_DCF Valuation'!$F$3/(1+$B9)^5 +
  ( '5_DCF Valuation'!$F$3*(1+F$7)/( $B9 - F$7 ) ) / (1+$B9)^5
  - '5_DCF Valuation'!$B$12 +
  '5_DCF Valuation'!$B$13
) / '5_DCF Valuation'!$B$16,
""
)
</f>
        <v>133.0522119</v>
      </c>
    </row>
    <row r="10">
      <c r="B10" s="7">
        <v>0.07</v>
      </c>
      <c r="C10" s="17">
        <f>IFERROR(
(
  '5_DCF Valuation'!$B$3/(1+$B10)^1 +
  '5_DCF Valuation'!$C$3/(1+$B10)^2 +
  '5_DCF Valuation'!$D$3/(1+$B10)^3 +
  '5_DCF Valuation'!$E$3/(1+$B10)^4 +
  '5_DCF Valuation'!$F$3/(1+$B10)^5 +
  ( '5_DCF Valuation'!$F$3*(1+C$7)/( $B10 - C$7 ) ) / (1+$B10)^5
  - '5_DCF Valuation'!$B$12 +
  '5_DCF Valuation'!$B$13
) / '5_DCF Valuation'!$B$16,
""
)
</f>
        <v>79.4980429</v>
      </c>
      <c r="D10" s="17">
        <f>IFERROR(
(
  '5_DCF Valuation'!$B$3/(1+$B10)^1 +
  '5_DCF Valuation'!$C$3/(1+$B10)^2 +
  '5_DCF Valuation'!$D$3/(1+$B10)^3 +
  '5_DCF Valuation'!$E$3/(1+$B10)^4 +
  '5_DCF Valuation'!$F$3/(1+$B10)^5 +
  ( '5_DCF Valuation'!$F$3*(1+D$7)/( $B10 - D$7 ) ) / (1+$B10)^5
  - '5_DCF Valuation'!$B$12 +
  '5_DCF Valuation'!$B$13
) / '5_DCF Valuation'!$B$16,
""
)
</f>
        <v>88.37585191</v>
      </c>
      <c r="E10" s="17">
        <f>IFERROR(
(
  '5_DCF Valuation'!$B$3/(1+$B10)^1 +
  '5_DCF Valuation'!$C$3/(1+$B10)^2 +
  '5_DCF Valuation'!$D$3/(1+$B10)^3 +
  '5_DCF Valuation'!$E$3/(1+$B10)^4 +
  '5_DCF Valuation'!$F$3/(1+$B10)^5 +
  ( '5_DCF Valuation'!$F$3*(1+E$7)/( $B10 - E$7 ) ) / (1+$B10)^5
  - '5_DCF Valuation'!$B$12 +
  '5_DCF Valuation'!$B$13
) / '5_DCF Valuation'!$B$16,
""
)
</f>
        <v>99.22650737</v>
      </c>
      <c r="F10" s="17">
        <f>IFERROR(
(
  '5_DCF Valuation'!$B$3/(1+$B10)^1 +
  '5_DCF Valuation'!$C$3/(1+$B10)^2 +
  '5_DCF Valuation'!$D$3/(1+$B10)^3 +
  '5_DCF Valuation'!$E$3/(1+$B10)^4 +
  '5_DCF Valuation'!$F$3/(1+$B10)^5 +
  ( '5_DCF Valuation'!$F$3*(1+F$7)/( $B10 - F$7 ) ) / (1+$B10)^5
  - '5_DCF Valuation'!$B$12 +
  '5_DCF Valuation'!$B$13
) / '5_DCF Valuation'!$B$16,
""
)
</f>
        <v>112.7898267</v>
      </c>
    </row>
    <row r="11">
      <c r="B11" s="7">
        <v>0.075</v>
      </c>
      <c r="C11" s="17">
        <f>IFERROR(
(
  '5_DCF Valuation'!$B$3/(1+$B11)^1 +
  '5_DCF Valuation'!$C$3/(1+$B11)^2 +
  '5_DCF Valuation'!$D$3/(1+$B11)^3 +
  '5_DCF Valuation'!$E$3/(1+$B11)^4 +
  '5_DCF Valuation'!$F$3/(1+$B11)^5 +
  ( '5_DCF Valuation'!$F$3*(1+C$7)/( $B11 - C$7 ) ) / (1+$B11)^5
  - '5_DCF Valuation'!$B$12 +
  '5_DCF Valuation'!$B$13
) / '5_DCF Valuation'!$B$16,
""
)
</f>
        <v>70.41420846</v>
      </c>
      <c r="D11" s="17">
        <f>IFERROR(
(
  '5_DCF Valuation'!$B$3/(1+$B11)^1 +
  '5_DCF Valuation'!$C$3/(1+$B11)^2 +
  '5_DCF Valuation'!$D$3/(1+$B11)^3 +
  '5_DCF Valuation'!$E$3/(1+$B11)^4 +
  '5_DCF Valuation'!$F$3/(1+$B11)^5 +
  ( '5_DCF Valuation'!$F$3*(1+D$7)/( $B11 - D$7 ) ) / (1+$B11)^5
  - '5_DCF Valuation'!$B$12 +
  '5_DCF Valuation'!$B$13
) / '5_DCF Valuation'!$B$16,
""
)
</f>
        <v>77.6756995</v>
      </c>
      <c r="E11" s="17">
        <f>IFERROR(
(
  '5_DCF Valuation'!$B$3/(1+$B11)^1 +
  '5_DCF Valuation'!$C$3/(1+$B11)^2 +
  '5_DCF Valuation'!$D$3/(1+$B11)^3 +
  '5_DCF Valuation'!$E$3/(1+$B11)^4 +
  '5_DCF Valuation'!$F$3/(1+$B11)^5 +
  ( '5_DCF Valuation'!$F$3*(1+E$7)/( $B11 - E$7 ) ) / (1+$B11)^5
  - '5_DCF Valuation'!$B$12 +
  '5_DCF Valuation'!$B$13
) / '5_DCF Valuation'!$B$16,
""
)
</f>
        <v>86.38948874</v>
      </c>
      <c r="F11" s="17">
        <f>IFERROR(
(
  '5_DCF Valuation'!$B$3/(1+$B11)^1 +
  '5_DCF Valuation'!$C$3/(1+$B11)^2 +
  '5_DCF Valuation'!$D$3/(1+$B11)^3 +
  '5_DCF Valuation'!$E$3/(1+$B11)^4 +
  '5_DCF Valuation'!$F$3/(1+$B11)^5 +
  ( '5_DCF Valuation'!$F$3*(1+F$7)/( $B11 - F$7 ) ) / (1+$B11)^5
  - '5_DCF Valuation'!$B$12 +
  '5_DCF Valuation'!$B$13
) / '5_DCF Valuation'!$B$16,
""
)
</f>
        <v>97.0396756</v>
      </c>
    </row>
    <row r="12">
      <c r="B12" s="7">
        <v>0.08</v>
      </c>
      <c r="C12" s="17">
        <f>IFERROR(
(
  '5_DCF Valuation'!$B$3/(1+$B12)^1 +
  '5_DCF Valuation'!$C$3/(1+$B12)^2 +
  '5_DCF Valuation'!$D$3/(1+$B12)^3 +
  '5_DCF Valuation'!$E$3/(1+$B12)^4 +
  '5_DCF Valuation'!$F$3/(1+$B12)^5 +
  ( '5_DCF Valuation'!$F$3*(1+C$7)/( $B12 - C$7 ) ) / (1+$B12)^5
  - '5_DCF Valuation'!$B$12 +
  '5_DCF Valuation'!$B$13
) / '5_DCF Valuation'!$B$16,
""
)
</f>
        <v>62.73499278</v>
      </c>
      <c r="D12" s="17">
        <f>IFERROR(
(
  '5_DCF Valuation'!$B$3/(1+$B12)^1 +
  '5_DCF Valuation'!$C$3/(1+$B12)^2 +
  '5_DCF Valuation'!$D$3/(1+$B12)^3 +
  '5_DCF Valuation'!$E$3/(1+$B12)^4 +
  '5_DCF Valuation'!$F$3/(1+$B12)^5 +
  ( '5_DCF Valuation'!$F$3*(1+D$7)/( $B12 - D$7 ) ) / (1+$B12)^5
  - '5_DCF Valuation'!$B$12 +
  '5_DCF Valuation'!$B$13
) / '5_DCF Valuation'!$B$16,
""
)
</f>
        <v>68.76633503</v>
      </c>
      <c r="E12" s="17">
        <f>IFERROR(
(
  '5_DCF Valuation'!$B$3/(1+$B12)^1 +
  '5_DCF Valuation'!$C$3/(1+$B12)^2 +
  '5_DCF Valuation'!$D$3/(1+$B12)^3 +
  '5_DCF Valuation'!$E$3/(1+$B12)^4 +
  '5_DCF Valuation'!$F$3/(1+$B12)^5 +
  ( '5_DCF Valuation'!$F$3*(1+E$7)/( $B12 - E$7 ) ) / (1+$B12)^5
  - '5_DCF Valuation'!$B$12 +
  '5_DCF Valuation'!$B$13
) / '5_DCF Valuation'!$B$16,
""
)
</f>
        <v>75.89428496</v>
      </c>
      <c r="F12" s="17">
        <f>IFERROR(
(
  '5_DCF Valuation'!$B$3/(1+$B12)^1 +
  '5_DCF Valuation'!$C$3/(1+$B12)^2 +
  '5_DCF Valuation'!$D$3/(1+$B12)^3 +
  '5_DCF Valuation'!$E$3/(1+$B12)^4 +
  '5_DCF Valuation'!$F$3/(1+$B12)^5 +
  ( '5_DCF Valuation'!$F$3*(1+F$7)/( $B12 - F$7 ) ) / (1+$B12)^5
  - '5_DCF Valuation'!$B$12 +
  '5_DCF Valuation'!$B$13
) / '5_DCF Valuation'!$B$16,
""
)
</f>
        <v>84.44782488</v>
      </c>
    </row>
    <row r="13">
      <c r="B13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3" width="23.38"/>
    <col customWidth="1" min="4" max="4" width="29.75"/>
  </cols>
  <sheetData>
    <row r="1">
      <c r="A1" s="1" t="s">
        <v>81</v>
      </c>
      <c r="B1" s="1" t="s">
        <v>82</v>
      </c>
    </row>
    <row r="2">
      <c r="A2" s="1" t="s">
        <v>83</v>
      </c>
      <c r="B2" s="1" t="s">
        <v>84</v>
      </c>
    </row>
    <row r="4">
      <c r="A4" s="1" t="s">
        <v>85</v>
      </c>
      <c r="B4" s="1" t="s">
        <v>86</v>
      </c>
      <c r="C4" s="1" t="s">
        <v>87</v>
      </c>
      <c r="D4" s="1" t="s">
        <v>88</v>
      </c>
    </row>
    <row r="5">
      <c r="A5" s="1" t="s">
        <v>89</v>
      </c>
      <c r="B5" s="1" t="s">
        <v>86</v>
      </c>
      <c r="C5" s="1" t="s">
        <v>90</v>
      </c>
      <c r="D5" s="1" t="s">
        <v>91</v>
      </c>
    </row>
    <row r="7">
      <c r="A7" s="1" t="s">
        <v>92</v>
      </c>
      <c r="B7" s="9">
        <v>0.06</v>
      </c>
      <c r="C7" s="7">
        <v>0.065</v>
      </c>
      <c r="D7" s="7">
        <v>0.025</v>
      </c>
    </row>
    <row r="8">
      <c r="A8" s="1" t="s">
        <v>93</v>
      </c>
      <c r="B8" s="7">
        <v>0.103</v>
      </c>
      <c r="C8" s="7">
        <v>0.115</v>
      </c>
      <c r="D8" s="7">
        <v>0.097</v>
      </c>
    </row>
    <row r="9">
      <c r="A9" s="1" t="s">
        <v>64</v>
      </c>
      <c r="B9" s="7">
        <v>0.0698</v>
      </c>
      <c r="C9" s="7">
        <v>0.063</v>
      </c>
      <c r="D9" s="7">
        <v>0.0775</v>
      </c>
    </row>
    <row r="10">
      <c r="A10" s="1" t="s">
        <v>80</v>
      </c>
      <c r="B10" s="7">
        <v>0.015</v>
      </c>
      <c r="C10" s="7">
        <v>0.02</v>
      </c>
      <c r="D10" s="7">
        <v>0.01</v>
      </c>
    </row>
    <row r="11">
      <c r="A11" s="1" t="s">
        <v>94</v>
      </c>
      <c r="B11" s="7">
        <v>0.03</v>
      </c>
      <c r="C11" s="7">
        <v>0.032</v>
      </c>
      <c r="D11" s="7">
        <v>0.035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</cols>
  <sheetData>
    <row r="1">
      <c r="A1" s="1" t="s">
        <v>95</v>
      </c>
    </row>
    <row r="2">
      <c r="A2" s="1" t="s">
        <v>96</v>
      </c>
    </row>
    <row r="3">
      <c r="A3" s="1" t="s">
        <v>97</v>
      </c>
    </row>
    <row r="4">
      <c r="A4" s="1" t="s">
        <v>98</v>
      </c>
    </row>
    <row r="5">
      <c r="A5" s="1" t="s">
        <v>99</v>
      </c>
    </row>
    <row r="7">
      <c r="A7" s="1" t="s">
        <v>100</v>
      </c>
    </row>
    <row r="8">
      <c r="A8" s="1" t="s">
        <v>101</v>
      </c>
    </row>
    <row r="9">
      <c r="A9" s="1" t="s">
        <v>102</v>
      </c>
    </row>
    <row r="10">
      <c r="A10" s="1" t="s">
        <v>103</v>
      </c>
    </row>
    <row r="11">
      <c r="A11" s="1" t="s">
        <v>104</v>
      </c>
    </row>
    <row r="12">
      <c r="A12" s="1" t="s">
        <v>105</v>
      </c>
    </row>
    <row r="13">
      <c r="A13" s="1" t="s">
        <v>106</v>
      </c>
    </row>
  </sheetData>
  <drawing r:id="rId1"/>
</worksheet>
</file>